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" sheetId="1" state="visible" r:id="rId3"/>
    <sheet name="Resultado" sheetId="2" state="visible" r:id="rId4"/>
    <sheet name="Cuestiona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<sst xmlns="http://schemas.openxmlformats.org/spreadsheetml/2006/main" count="94" uniqueCount="76">
  <si>
    <t xml:space="preserve">FitManager - System Usability Scale (SUS) - RNF-06</t>
  </si>
  <si>
    <t xml:space="preserve">RNF-06: puntaje minimo requerido = 80. Escala de Brooke (1996).</t>
  </si>
  <si>
    <t xml:space="preserve">INSTRUCCIONES: escriba en P1..P10 la respuesta de cada participante (1 = Totalmente en desacuerdo, 5 = Totalmente de acuerdo). Las celdas amarillas son las unicas que debe llenar.</t>
  </si>
  <si>
    <t xml:space="preserve">Participante</t>
  </si>
  <si>
    <t xml:space="preserve">Rol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</si>
  <si>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</si>
  <si>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</si>
  <si>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</si>
  <si>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</si>
  <si>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</si>
  <si>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</si>
  <si>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</si>
  <si>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</si>
  <si>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</si>
  <si>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</si>
  <si>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Suma</t>
  </si>
  <si>
    <t xml:space="preserve">Puntaje SUS</t>
  </si>
  <si>
    <t xml:space="preserve">EJEMPLO (borrar)</t>
  </si>
  <si>
    <t xml:space="preserve">Recepcionista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</si>
  <si>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</si>
  <si>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</si>
  <si>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</si>
  <si>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</si>
  <si>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</si>
  <si>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</si>
  <si>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</si>
  <si>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</si>
  <si>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</si>
  <si>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Resultado SUS - RNF-06</t>
  </si>
  <si>
    <t xml:space="preserve">Participantes con respuesta completa</t>
  </si>
  <si>
    <t xml:space="preserve">Puntaje SUS promedio</t>
  </si>
  <si>
    <t xml:space="preserve">Puntaje minimo obtenido</t>
  </si>
  <si>
    <t xml:space="preserve">Puntaje maximo obtenido</t>
  </si>
  <si>
    <t xml:space="preserve">Desviacion estandar</t>
  </si>
  <si>
    <t xml:space="preserve">Umbral exigido por el RNF-06</t>
  </si>
  <si>
    <t xml:space="preserve">Valor definido en el documento del proyecto (azul = dato fijo)</t>
  </si>
  <si>
    <t xml:space="preserve">CUMPLE EL RNF-06</t>
  </si>
  <si>
    <t xml:space="preserve">Interpretacion (Bangor et al., 2009)</t>
  </si>
  <si>
    <t xml:space="preserve">Rango</t>
  </si>
  <si>
    <t xml:space="preserve">Calificacion</t>
  </si>
  <si>
    <t xml:space="preserve">85 - 100</t>
  </si>
  <si>
    <t xml:space="preserve">Excelente</t>
  </si>
  <si>
    <t xml:space="preserve">72 - 84</t>
  </si>
  <si>
    <t xml:space="preserve">Bueno</t>
  </si>
  <si>
    <t xml:space="preserve">52 - 71</t>
  </si>
  <si>
    <t xml:space="preserve">Aceptable</t>
  </si>
  <si>
    <t xml:space="preserve">39 - 51</t>
  </si>
  <si>
    <t xml:space="preserve">Pobre</t>
  </si>
  <si>
    <t xml:space="preserve">0 - 38</t>
  </si>
  <si>
    <t xml:space="preserve">Inaceptable</t>
  </si>
  <si>
    <t xml:space="preserve">Nota: el SUS produce un puntaje de 0 a 100, pero NO es un porcentaje.</t>
  </si>
  <si>
    <t xml:space="preserve">Brooke (1996) recomienda un minimo de 8 a 12 participantes para que el promedio sea estable.</t>
  </si>
  <si>
    <t xml:space="preserve">Cuestionario SUS - las 10 afirmaciones</t>
  </si>
  <si>
    <t xml:space="preserve">Escala: 1 = Totalmente en desacuerdo ... 5 = Totalmente de acuerdo</t>
  </si>
  <si>
    <t xml:space="preserve">N</t>
  </si>
  <si>
    <t xml:space="preserve">Afirmacion</t>
  </si>
  <si>
    <t xml:space="preserve">Tipo</t>
  </si>
  <si>
    <t xml:space="preserve">Creo que me gustaria usar este sistema con frecuencia.</t>
  </si>
  <si>
    <t xml:space="preserve">Positiva</t>
  </si>
  <si>
    <t xml:space="preserve">Encontre el sistema innecesariamente complejo.</t>
  </si>
  <si>
    <t xml:space="preserve">Negativa</t>
  </si>
  <si>
    <t xml:space="preserve">Pense que el sistema era facil de usar.</t>
  </si>
  <si>
    <t xml:space="preserve">Creo que necesitaria el apoyo de una persona con conocimientos tecnicos para poder usar este sistema.</t>
  </si>
  <si>
    <t xml:space="preserve">Encontre que las diversas funciones del sistema estaban bien integradas.</t>
  </si>
  <si>
    <t xml:space="preserve">Pense que habia demasiada inconsistencia en este sistema.</t>
  </si>
  <si>
    <t xml:space="preserve">Imagino que la mayoria de la gente aprenderia a usar este sistema muy rapidamente.</t>
  </si>
  <si>
    <t xml:space="preserve">Encontre el sistema muy engorroso de usar.</t>
  </si>
  <si>
    <t xml:space="preserve">Me senti muy seguro usando el sistema.</t>
  </si>
  <si>
    <t xml:space="preserve">Necesite aprender muchas cosas antes de poder empezar a usar este sistema.</t>
  </si>
  <si>
    <t xml:space="preserve">Como se calcula</t>
  </si>
  <si>
    <t xml:space="preserve">Preguntas impares (positivas): se resta 1 al valor marcado.</t>
  </si>
  <si>
    <t xml:space="preserve">Preguntas pares (negativas): se resta el valor marcado a 5.</t>
  </si>
  <si>
    <t xml:space="preserve">Se suman los 10 resultados (rango 0 a 40) y se multiplica por 2.5.</t>
  </si>
  <si>
    <t xml:space="preserve">El resultado va de 0 a 100. La hoja Respuestas ya aplica esta formula.</t>
  </si>
  <si>
    <t xml:space="preserve">La alternancia entre afirmaciones positivas y negativas es intencional:</t>
  </si>
  <si>
    <t xml:space="preserve">obliga a leer cada una y evita que el participante marque todo igual.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</si>
</sst>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97316"/>
      <name val="Arial"/>
      <family val="0"/>
      <charset val="1"/>
    </font>
    <font>
      <sz val="10"/>
      <color rgb="FF64748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9731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7316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12" min="3" style="0" width="6"/>
    <col collapsed="false" customWidth="true" hidden="false" outlineLevel="0" max="13" min="13" style="0" width="8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6" t="n">
        <v>5</v>
      </c>
      <c r="D6" s="6" t="n">
        <v>2</v>
      </c>
      <c r="E6" s="6" t="n">
        <v>4</v>
      </c>
      <c r="F6" s="6" t="n">
        <v>2</v>
      </c>
      <c r="G6" s="6" t="n">
        <v>4</v>
      </c>
      <c r="H6" s="6" t="n">
        <v>1</v>
      </c>
      <c r="I6" s="6" t="n">
        <v>5</v>
      </c>
      <c r="J6" s="6" t="n">
        <v>2</v>
      </c>
      <c r="K6" s="6" t="n">
        <v>4</v>
      </c>
      <c r="L6" s="6" t="n">
        <v>1</v>
      </c>
      <c r="M6" s="7" t="n">
        <f aca="false">IF(COUNT(C6:L6)=10,(C6-1)+(E6-1)+(G6-1)+(I6-1)+(K6-1)+(5-D6)+(5-F6)+(5-H6)+(5-J6)+(5-L6),"")</f>
        <v>34</v>
      </c>
      <c r="N6" s="8" t="n">
        <f aca="false">IF(M6="","",M6*2.5)</f>
        <v>85</v>
      </c>
    </row>
    <row r="7" customFormat="false" ht="15" hidden="false" customHeight="false" outlineLevel="0" collapsed="false">
      <c r="A7" s="9" t="s">
        <v>5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7" t="str">
        <f aca="false">IF(COUNT(C7:L7)=10,(C7-1)+(E7-1)+(G7-1)+(I7-1)+(K7-1)+(5-D7)+(5-F7)+(5-H7)+(5-J7)+(5-L7),"")</f>
        <v/>
      </c>
      <c r="N7" s="8" t="str">
        <f aca="false">IF(M7="","",M7*2.5)</f>
        <v/>
      </c>
    </row>
    <row r="8" customFormat="false" ht="15" hidden="false" customHeight="false" outlineLevel="0" collapsed="false">
      <c r="A8" s="9" t="s">
        <v>6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7" t="str">
        <f aca="false">IF(COUNT(C8:L8)=10,(C8-1)+(E8-1)+(G8-1)+(I8-1)+(K8-1)+(5-D8)+(5-F8)+(5-H8)+(5-J8)+(5-L8),"")</f>
        <v/>
      </c>
      <c r="N8" s="8" t="str">
        <f aca="false">IF(M8="","",M8*2.5)</f>
        <v/>
      </c>
    </row>
    <row r="9" customFormat="false" ht="15" hidden="false" customHeight="false" outlineLevel="0" collapsed="false">
      <c r="A9" s="9" t="s">
        <v>7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7" t="str">
        <f aca="false">IF(COUNT(C9:L9)=10,(C9-1)+(E9-1)+(G9-1)+(I9-1)+(K9-1)+(5-D9)+(5-F9)+(5-H9)+(5-J9)+(5-L9),"")</f>
        <v/>
      </c>
      <c r="N9" s="8" t="str">
        <f aca="false">IF(M9="","",M9*2.5)</f>
        <v/>
      </c>
    </row>
    <row r="10" customFormat="false" ht="15" hidden="false" customHeight="false" outlineLevel="0" collapsed="false">
      <c r="A10" s="9" t="s">
        <v>8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7" t="str">
        <f aca="false">IF(COUNT(C10:L10)=10,(C10-1)+(E10-1)+(G10-1)+(I10-1)+(K10-1)+(5-D10)+(5-F10)+(5-H10)+(5-J10)+(5-L10),"")</f>
        <v/>
      </c>
      <c r="N10" s="8" t="str">
        <f aca="false">IF(M10="","",M10*2.5)</f>
        <v/>
      </c>
    </row>
    <row r="11" customFormat="false" ht="15" hidden="false" customHeight="false" outlineLevel="0" collapsed="false">
      <c r="A11" s="9" t="s">
        <v>9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7" t="str">
        <f aca="false">IF(COUNT(C11:L11)=10,(C11-1)+(E11-1)+(G11-1)+(I11-1)+(K11-1)+(5-D11)+(5-F11)+(5-H11)+(5-J11)+(5-L11),"")</f>
        <v/>
      </c>
      <c r="N11" s="8" t="str">
        <f aca="false">IF(M11="","",M11*2.5)</f>
        <v/>
      </c>
    </row>
    <row r="12" customFormat="false" ht="15" hidden="false" customHeight="false" outlineLevel="0" collapsed="false">
      <c r="A12" s="9" t="s">
        <v>10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7" t="str">
        <f aca="false">IF(COUNT(C12:L12)=10,(C12-1)+(E12-1)+(G12-1)+(I12-1)+(K12-1)+(5-D12)+(5-F12)+(5-H12)+(5-J12)+(5-L12),"")</f>
        <v/>
      </c>
      <c r="N12" s="8" t="str">
        <f aca="false">IF(M12="","",M12*2.5)</f>
        <v/>
      </c>
    </row>
    <row r="13" customFormat="false" ht="15" hidden="false" customHeight="false" outlineLevel="0" collapsed="false">
      <c r="A13" s="9" t="s">
        <v>11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7" t="str">
        <f aca="false">IF(COUNT(C13:L13)=10,(C13-1)+(E13-1)+(G13-1)+(I13-1)+(K13-1)+(5-D13)+(5-F13)+(5-H13)+(5-J13)+(5-L13),"")</f>
        <v/>
      </c>
      <c r="N13" s="8" t="str">
        <f aca="false">IF(M13="","",M13*2.5)</f>
        <v/>
      </c>
    </row>
    <row r="14" customFormat="false" ht="15" hidden="false" customHeight="false" outlineLevel="0" collapsed="false">
      <c r="A14" s="9" t="s">
        <v>12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7" t="str">
        <f aca="false">IF(COUNT(C14:L14)=10,(C14-1)+(E14-1)+(G14-1)+(I14-1)+(K14-1)+(5-D14)+(5-F14)+(5-H14)+(5-J14)+(5-L14),"")</f>
        <v/>
      </c>
      <c r="N14" s="8" t="str">
        <f aca="false">IF(M14="","",M14*2.5)</f>
        <v/>
      </c>
    </row>
    <row r="15" customFormat="false" ht="15" hidden="false" customHeight="false" outlineLevel="0" collapsed="false">
      <c r="A15" s="9" t="s">
        <v>13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7" t="str">
        <f aca="false">IF(COUNT(C15:L15)=10,(C15-1)+(E15-1)+(G15-1)+(I15-1)+(K15-1)+(5-D15)+(5-F15)+(5-H15)+(5-J15)+(5-L15),"")</f>
        <v/>
      </c>
      <c r="N15" s="8" t="str">
        <f aca="false">IF(M15="","",M15*2.5)</f>
        <v/>
      </c>
    </row>
    <row r="16" customFormat="false" ht="15" hidden="false" customHeight="false" outlineLevel="0" collapsed="false">
      <c r="A16" s="9" t="s">
        <v>14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7" t="str">
        <f aca="false">IF(COUNT(C16:L16)=10,(C16-1)+(E16-1)+(G16-1)+(I16-1)+(K16-1)+(5-D16)+(5-F16)+(5-H16)+(5-J16)+(5-L16),"")</f>
        <v/>
      </c>
      <c r="N16" s="8" t="str">
        <f aca="false">IF(M16="","",M16*2.5)</f>
        <v/>
      </c>
    </row>
    <row r="17" customFormat="false" ht="15" hidden="false" customHeight="false" outlineLevel="0" collapsed="false">
      <c r="A17" s="9" t="s">
        <v>19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7" t="str">
        <f aca="false">IF(COUNT(C17:L17)=10,(C17-1)+(E17-1)+(G17-1)+(I17-1)+(K17-1)+(5-D17)+(5-F17)+(5-H17)+(5-J17)+(5-L17),"")</f>
        <v/>
      </c>
      <c r="N17" s="8" t="str">
        <f aca="false">IF(M17="","",M17*2.5)</f>
        <v/>
      </c>
    </row>
    <row r="18" customFormat="false" ht="15" hidden="false" customHeight="false" outlineLevel="0" collapsed="false">
      <c r="A18" s="9" t="s">
        <v>20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7" t="str">
        <f aca="false">IF(COUNT(C18:L18)=10,(C18-1)+(E18-1)+(G18-1)+(I18-1)+(K18-1)+(5-D18)+(5-F18)+(5-H18)+(5-J18)+(5-L18),"")</f>
        <v/>
      </c>
      <c r="N18" s="8" t="str">
        <f aca="false">IF(M18="","",M18*2.5)</f>
        <v/>
      </c>
    </row>
    <row r="19" customFormat="false" ht="15" hidden="false" customHeight="false" outlineLevel="0" collapsed="false">
      <c r="A19" s="9" t="s">
        <v>21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7" t="str">
        <f aca="false">IF(COUNT(C19:L19)=10,(C19-1)+(E19-1)+(G19-1)+(I19-1)+(K19-1)+(5-D19)+(5-F19)+(5-H19)+(5-J19)+(5-L19),"")</f>
        <v/>
      </c>
      <c r="N19" s="8" t="str">
        <f aca="false">IF(M19="","",M19*2.5)</f>
        <v/>
      </c>
    </row>
    <row r="20" customFormat="false" ht="15" hidden="false" customHeight="false" outlineLevel="0" collapsed="false">
      <c r="A20" s="9" t="s">
        <v>22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7" t="str">
        <f aca="false">IF(COUNT(C20:L20)=10,(C20-1)+(E20-1)+(G20-1)+(I20-1)+(K20-1)+(5-D20)+(5-F20)+(5-H20)+(5-J20)+(5-L20),"")</f>
        <v/>
      </c>
      <c r="N20" s="8" t="str">
        <f aca="false">IF(M20="","",M20*2.5)</f>
        <v/>
      </c>
    </row>
    <row r="21" customFormat="false" ht="15" hidden="false" customHeight="false" outlineLevel="0" collapsed="false">
      <c r="A21" s="9" t="s">
        <v>23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7" t="str">
        <f aca="false">IF(COUNT(C21:L21)=10,(C21-1)+(E21-1)+(G21-1)+(I21-1)+(K21-1)+(5-D21)+(5-F21)+(5-H21)+(5-J21)+(5-L21),"")</f>
        <v/>
      </c>
      <c r="N21" s="8" t="str">
        <f aca="false">IF(M21="","",M21*2.5)</f>
        <v/>
      </c>
    </row>
    <row r="22" customFormat="false" ht="15" hidden="false" customHeight="false" outlineLevel="0" collapsed="false">
      <c r="A22" s="9" t="s">
        <v>24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7" t="str">
        <f aca="false">IF(COUNT(C22:L22)=10,(C22-1)+(E22-1)+(G22-1)+(I22-1)+(K22-1)+(5-D22)+(5-F22)+(5-H22)+(5-J22)+(5-L22),"")</f>
        <v/>
      </c>
      <c r="N22" s="8" t="str">
        <f aca="false">IF(M22="","",M22*2.5)</f>
        <v/>
      </c>
    </row>
    <row r="23" customFormat="false" ht="15" hidden="false" customHeight="false" outlineLevel="0" collapsed="false">
      <c r="A23" s="9" t="s">
        <v>25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7" t="str">
        <f aca="false">IF(COUNT(C23:L23)=10,(C23-1)+(E23-1)+(G23-1)+(I23-1)+(K23-1)+(5-D23)+(5-F23)+(5-H23)+(5-J23)+(5-L23),"")</f>
        <v/>
      </c>
      <c r="N23" s="8" t="str">
        <f aca="false">IF(M23="","",M23*2.5)</f>
        <v/>
      </c>
    </row>
    <row r="24" customFormat="false" ht="15" hidden="false" customHeight="false" outlineLevel="0" collapsed="false">
      <c r="A24" s="9" t="s">
        <v>26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7" t="str">
        <f aca="false">IF(COUNT(C24:L24)=10,(C24-1)+(E24-1)+(G24-1)+(I24-1)+(K24-1)+(5-D24)+(5-F24)+(5-H24)+(5-J24)+(5-L24),"")</f>
        <v/>
      </c>
      <c r="N24" s="8" t="str">
        <f aca="false">IF(M24="","",M24*2.5)</f>
        <v/>
      </c>
    </row>
    <row r="25" customFormat="false" ht="15" hidden="false" customHeight="false" outlineLevel="0" collapsed="false">
      <c r="A25" s="9" t="s">
        <v>27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7" t="str">
        <f aca="false">IF(COUNT(C25:L25)=10,(C25-1)+(E25-1)+(G25-1)+(I25-1)+(K25-1)+(5-D25)+(5-F25)+(5-H25)+(5-J25)+(5-L25),"")</f>
        <v/>
      </c>
      <c r="N25" s="8" t="str">
        <f aca="false">IF(M25="","",M25*2.5)</f>
        <v/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</row>
    <row r="3" customFormat="false" ht="15" hidden="false" customHeight="false" outlineLevel="0" collapsed="false">
      <c r="A3" s="12" t="s">
        <v>29</v>
      </c>
      <c r="B3" s="13" t="n">
        <f aca="false">COUNT(Respuestas!N7:N25)</f>
        <v>0</v>
      </c>
    </row>
    <row r="4" customFormat="false" ht="15" hidden="false" customHeight="false" outlineLevel="0" collapsed="false">
      <c r="A4" s="12" t="s">
        <v>30</v>
      </c>
      <c r="B4" s="14" t="str">
        <f aca="false">IFERROR(AVERAGE(Respuestas!N7:N25),"sin datos")</f>
        <v>sin datos</v>
      </c>
    </row>
    <row r="5" customFormat="false" ht="15" hidden="false" customHeight="false" outlineLevel="0" collapsed="false">
      <c r="A5" s="12" t="s">
        <v>31</v>
      </c>
      <c r="B5" s="14" t="n">
        <f aca="false">IFERROR(MIN(Respuestas!N7:N25),"sin datos")</f>
        <v>0</v>
      </c>
    </row>
    <row r="6" customFormat="false" ht="15" hidden="false" customHeight="false" outlineLevel="0" collapsed="false">
      <c r="A6" s="12" t="s">
        <v>32</v>
      </c>
      <c r="B6" s="14" t="n">
        <f aca="false">IFERROR(MAX(Respuestas!N7:N25),"sin datos")</f>
        <v>0</v>
      </c>
    </row>
    <row r="7" customFormat="false" ht="15" hidden="false" customHeight="false" outlineLevel="0" collapsed="false">
      <c r="A7" s="12" t="s">
        <v>33</v>
      </c>
      <c r="B7" s="14" t="str">
        <f aca="false">IFERROR(STDEV(Respuestas!N7:N25),"sin datos")</f>
        <v>sin datos</v>
      </c>
    </row>
    <row r="9" customFormat="false" ht="15" hidden="false" customHeight="false" outlineLevel="0" collapsed="false">
      <c r="A9" s="12" t="s">
        <v>34</v>
      </c>
      <c r="B9" s="15" t="n">
        <v>80</v>
      </c>
      <c r="C9" s="16" t="s">
        <v>35</v>
      </c>
    </row>
    <row r="11" customFormat="false" ht="15" hidden="false" customHeight="false" outlineLevel="0" collapsed="false">
      <c r="A11" s="17" t="s">
        <v>36</v>
      </c>
      <c r="B11" s="18" t="str">
        <f aca="false">IF(COUNT(Respuestas!N7:N25)=0,"sin datos",IF(B4&gt;=B9,"SI","NO"))</f>
        <v>sin datos</v>
      </c>
    </row>
    <row r="13" customFormat="false" ht="15" hidden="false" customHeight="false" outlineLevel="0" collapsed="false">
      <c r="A13" s="19" t="s">
        <v>37</v>
      </c>
    </row>
    <row r="14" customFormat="false" ht="15" hidden="false" customHeight="false" outlineLevel="0" collapsed="false">
      <c r="A14" s="20" t="s">
        <v>38</v>
      </c>
      <c r="B14" s="20" t="s">
        <v>39</v>
      </c>
    </row>
    <row r="15" customFormat="false" ht="15" hidden="false" customHeight="false" outlineLevel="0" collapsed="false">
      <c r="A15" s="21" t="s">
        <v>40</v>
      </c>
      <c r="B15" s="21" t="s">
        <v>41</v>
      </c>
    </row>
    <row r="16" customFormat="false" ht="15" hidden="false" customHeight="false" outlineLevel="0" collapsed="false">
      <c r="A16" s="21" t="s">
        <v>42</v>
      </c>
      <c r="B16" s="21" t="s">
        <v>43</v>
      </c>
    </row>
    <row r="17" customFormat="false" ht="15" hidden="false" customHeight="false" outlineLevel="0" collapsed="false">
      <c r="A17" s="21" t="s">
        <v>44</v>
      </c>
      <c r="B17" s="21" t="s">
        <v>45</v>
      </c>
    </row>
    <row r="18" customFormat="false" ht="15" hidden="false" customHeight="false" outlineLevel="0" collapsed="false">
      <c r="A18" s="21" t="s">
        <v>46</v>
      </c>
      <c r="B18" s="21" t="s">
        <v>47</v>
      </c>
    </row>
    <row r="19" customFormat="false" ht="15" hidden="false" customHeight="false" outlineLevel="0" collapsed="false">
      <c r="A19" s="21" t="s">
        <v>48</v>
      </c>
      <c r="B19" s="21" t="s">
        <v>49</v>
      </c>
    </row>
    <row r="21" customFormat="false" ht="15" hidden="false" customHeight="false" outlineLevel="0" collapsed="false">
      <c r="A21" s="16" t="s">
        <v>50</v>
      </c>
    </row>
    <row r="22" customFormat="false" ht="15" hidden="false" customHeight="false" outlineLevel="0" collapsed="false">
      <c r="A22" s="16" t="s">
        <v>51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52</v>
      </c>
      <c r="B1" s="1"/>
      <c r="C1" s="1"/>
    </row>
    <row r="2" customFormat="false" ht="15" hidden="false" customHeight="false" outlineLevel="0" collapsed="false">
      <c r="A2" s="2" t="s">
        <v>53</v>
      </c>
      <c r="B2" s="2"/>
      <c r="C2" s="2"/>
    </row>
    <row r="4" customFormat="false" ht="15" hidden="false" customHeight="false" outlineLevel="0" collapsed="false">
      <c r="A4" s="22" t="s">
        <v>54</v>
      </c>
      <c r="B4" s="22" t="s">
        <v>55</v>
      </c>
      <c r="C4" s="22" t="s">
        <v>56</v>
      </c>
    </row>
    <row r="5" customFormat="false" ht="30" hidden="false" customHeight="true" outlineLevel="0" collapsed="false">
      <c r="A5" s="21" t="n">
        <v>1</v>
      </c>
      <c r="B5" s="23" t="s">
        <v>57</v>
      </c>
      <c r="C5" s="21" t="s">
        <v>58</v>
      </c>
    </row>
    <row r="6" customFormat="false" ht="30" hidden="false" customHeight="true" outlineLevel="0" collapsed="false">
      <c r="A6" s="21" t="n">
        <v>2</v>
      </c>
      <c r="B6" s="23" t="s">
        <v>59</v>
      </c>
      <c r="C6" s="21" t="s">
        <v>60</v>
      </c>
    </row>
    <row r="7" customFormat="false" ht="30" hidden="false" customHeight="true" outlineLevel="0" collapsed="false">
      <c r="A7" s="21" t="n">
        <v>3</v>
      </c>
      <c r="B7" s="23" t="s">
        <v>61</v>
      </c>
      <c r="C7" s="21" t="s">
        <v>58</v>
      </c>
    </row>
    <row r="8" customFormat="false" ht="30" hidden="false" customHeight="true" outlineLevel="0" collapsed="false">
      <c r="A8" s="21" t="n">
        <v>4</v>
      </c>
      <c r="B8" s="23" t="s">
        <v>62</v>
      </c>
      <c r="C8" s="21" t="s">
        <v>60</v>
      </c>
    </row>
    <row r="9" customFormat="false" ht="30" hidden="false" customHeight="true" outlineLevel="0" collapsed="false">
      <c r="A9" s="21" t="n">
        <v>5</v>
      </c>
      <c r="B9" s="23" t="s">
        <v>63</v>
      </c>
      <c r="C9" s="21" t="s">
        <v>58</v>
      </c>
    </row>
    <row r="10" customFormat="false" ht="30" hidden="false" customHeight="true" outlineLevel="0" collapsed="false">
      <c r="A10" s="21" t="n">
        <v>6</v>
      </c>
      <c r="B10" s="23" t="s">
        <v>64</v>
      </c>
      <c r="C10" s="21" t="s">
        <v>60</v>
      </c>
    </row>
    <row r="11" customFormat="false" ht="30" hidden="false" customHeight="true" outlineLevel="0" collapsed="false">
      <c r="A11" s="21" t="n">
        <v>7</v>
      </c>
      <c r="B11" s="23" t="s">
        <v>65</v>
      </c>
      <c r="C11" s="21" t="s">
        <v>58</v>
      </c>
    </row>
    <row r="12" customFormat="false" ht="30" hidden="false" customHeight="true" outlineLevel="0" collapsed="false">
      <c r="A12" s="21" t="n">
        <v>8</v>
      </c>
      <c r="B12" s="23" t="s">
        <v>66</v>
      </c>
      <c r="C12" s="21" t="s">
        <v>60</v>
      </c>
    </row>
    <row r="13" customFormat="false" ht="30" hidden="false" customHeight="true" outlineLevel="0" collapsed="false">
      <c r="A13" s="21" t="n">
        <v>9</v>
      </c>
      <c r="B13" s="23" t="s">
        <v>67</v>
      </c>
      <c r="C13" s="21" t="s">
        <v>58</v>
      </c>
    </row>
    <row r="14" customFormat="false" ht="30" hidden="false" customHeight="true" outlineLevel="0" collapsed="false">
      <c r="A14" s="21" t="n">
        <v>10</v>
      </c>
      <c r="B14" s="23" t="s">
        <v>68</v>
      </c>
      <c r="C14" s="21" t="s">
        <v>60</v>
      </c>
    </row>
    <row r="16" customFormat="false" ht="15" hidden="false" customHeight="false" outlineLevel="0" collapsed="false">
      <c r="A16" s="19" t="s">
        <v>69</v>
      </c>
    </row>
    <row r="17" customFormat="false" ht="15" hidden="false" customHeight="false" outlineLevel="0" collapsed="false">
      <c r="A17" s="24" t="s">
        <v>70</v>
      </c>
    </row>
    <row r="18" customFormat="false" ht="15" hidden="false" customHeight="false" outlineLevel="0" collapsed="false">
      <c r="A18" s="24" t="s">
        <v>71</v>
      </c>
    </row>
    <row r="19" customFormat="false" ht="15" hidden="false" customHeight="false" outlineLevel="0" collapsed="false">
      <c r="A19" s="24" t="s">
        <v>72</v>
      </c>
    </row>
    <row r="20" customFormat="false" ht="15" hidden="false" customHeight="false" outlineLevel="0" collapsed="false">
      <c r="A20" s="24" t="s">
        <v>73</v>
      </c>
    </row>
    <row r="21" customFormat="false" ht="15" hidden="false" customHeight="false" outlineLevel="0" collapsed="false">
      <c r="A21" s="24"/>
    </row>
    <row r="22" customFormat="false" ht="15" hidden="false" customHeight="false" outlineLevel="0" collapsed="false">
      <c r="A22" s="24" t="s">
        <v>74</v>
      </c>
    </row>
    <row r="23" customFormat="false" ht="15" hidden="false" customHeight="false" outlineLevel="0" collapsed="false">
      <c r="A23" s="24" t="s">
        <v>75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2026-08-06T20:54:17Z</dcterms:created>
  <dc:creator>openpyxl</dc:creator>
  <dc:description/>
  <dc:language>en-US</dc:language>
  <cp:lastModifiedBy/>
  <dcterms:modified xsi:type="dcterms:W3CDTF">2026-08-06T20:54:17Z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